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uture Link\Downloads\"/>
    </mc:Choice>
  </mc:AlternateContent>
  <xr:revisionPtr revIDLastSave="0" documentId="13_ncr:1_{4C563FF3-EECE-418E-8C54-15DC7BC9CBD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Sheet1!$B$1:$B$11</definedName>
  </definedNames>
  <calcPr calcId="191029"/>
</workbook>
</file>

<file path=xl/calcChain.xml><?xml version="1.0" encoding="utf-8"?>
<calcChain xmlns="http://schemas.openxmlformats.org/spreadsheetml/2006/main">
  <c r="N12" i="1" l="1"/>
  <c r="K12" i="1"/>
  <c r="J12" i="1"/>
  <c r="N11" i="1"/>
  <c r="J11" i="1" s="1"/>
  <c r="K11" i="1"/>
  <c r="N10" i="1"/>
  <c r="K10" i="1"/>
  <c r="J10" i="1" s="1"/>
  <c r="N9" i="1"/>
  <c r="K9" i="1"/>
  <c r="J9" i="1"/>
  <c r="N8" i="1"/>
  <c r="K8" i="1"/>
  <c r="J8" i="1" s="1"/>
  <c r="N7" i="1"/>
  <c r="K7" i="1"/>
  <c r="J7" i="1" s="1"/>
  <c r="N6" i="1"/>
  <c r="K6" i="1"/>
  <c r="J6" i="1" s="1"/>
  <c r="N5" i="1"/>
  <c r="K5" i="1"/>
  <c r="J5" i="1"/>
  <c r="N4" i="1"/>
  <c r="K4" i="1"/>
  <c r="J4" i="1"/>
  <c r="N3" i="1"/>
  <c r="J3" i="1" s="1"/>
  <c r="K3" i="1"/>
  <c r="N2" i="1"/>
  <c r="K2" i="1"/>
  <c r="J2" i="1" s="1"/>
  <c r="G2" i="1"/>
</calcChain>
</file>

<file path=xl/sharedStrings.xml><?xml version="1.0" encoding="utf-8"?>
<sst xmlns="http://schemas.openxmlformats.org/spreadsheetml/2006/main" count="16" uniqueCount="16">
  <si>
    <t>Employee Name</t>
  </si>
  <si>
    <t>UNIT</t>
  </si>
  <si>
    <t>MIS PUNCH + ABSENT</t>
  </si>
  <si>
    <t xml:space="preserve">No of Late Comings </t>
  </si>
  <si>
    <t xml:space="preserve">No. of Leaves Taken </t>
  </si>
  <si>
    <t>Actual Working Days</t>
  </si>
  <si>
    <t>Total Paid Leaves</t>
  </si>
  <si>
    <t>Total W/Off</t>
  </si>
  <si>
    <t>Payable Days</t>
  </si>
  <si>
    <t>Late Deduction Days</t>
  </si>
  <si>
    <t>Unauthorized Leave (UL)</t>
  </si>
  <si>
    <t>Sandwich Leave Days</t>
  </si>
  <si>
    <t>Mispunch Deduction Days</t>
  </si>
  <si>
    <t>Isha Sikligar</t>
  </si>
  <si>
    <t>santosh sir</t>
  </si>
  <si>
    <t xml:space="preserve">genda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</si>
</sst>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000000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1"/>
      <name val="Times New Roman"/>
      <charset val="134"/>
    </font>
    <font>
      <sz val="10"/>
      <color rgb="FF000000"/>
      <name val="Times New Roman"/>
      <charset val="134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2" fontId="4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12" fontId="6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J19" sqref="J19"/>
    </sheetView>
  </sheetViews>
  <sheetFormatPr defaultColWidth="9" defaultRowHeight="14.4"/>
  <cols>
    <col min="1" max="1" width="13.88671875" style="1" customWidth="1"/>
    <col min="2" max="2" width="9.44140625" style="1" customWidth="1"/>
    <col min="3" max="3" width="9.5546875" style="1" customWidth="1"/>
    <col min="4" max="10" width="8.88671875" style="1" customWidth="1"/>
    <col min="11" max="11" width="9.44140625" style="1" customWidth="1"/>
    <col min="12" max="12" width="28.5546875" style="1" customWidth="1"/>
    <col min="13" max="13" width="21.44140625" style="1" customWidth="1"/>
    <col min="14" max="14" width="14" style="1" customWidth="1"/>
    <col min="15" max="15" width="18.6640625" style="1" customWidth="1"/>
  </cols>
  <sheetData>
    <row r="1" spans="1:15" ht="53.4" customHeight="1">
      <c r="A1" s="2" t="s">
        <v>0</v>
      </c>
      <c r="B1" s="2"/>
      <c r="C1" s="2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21" t="s">
        <v>9</v>
      </c>
      <c r="L1" s="21" t="s">
        <v>10</v>
      </c>
      <c r="M1" s="22" t="s">
        <v>11</v>
      </c>
      <c r="N1" s="22" t="s">
        <v>12</v>
      </c>
      <c r="O1" s="5"/>
    </row>
    <row r="2" spans="1:15">
      <c r="A2" s="6" t="s">
        <v>13</v>
      </c>
      <c r="B2" s="15" t="s">
        <v>14</v>
      </c>
      <c r="C2" s="15" t="s">
        <v>15</v>
      </c>
      <c r="D2" s="7">
        <v>3</v>
      </c>
      <c r="E2" s="7">
        <v>0</v>
      </c>
      <c r="F2" s="7">
        <v>0</v>
      </c>
      <c r="G2" s="7">
        <f>25-F2</f>
        <v>25</v>
      </c>
      <c r="H2" s="7">
        <v>0</v>
      </c>
      <c r="I2" s="7">
        <v>5</v>
      </c>
      <c r="J2" s="7">
        <f t="shared" ref="J2:J12" si="0">30-F2+H2-K2-(L2*2)-M2-N2</f>
        <v>29.5</v>
      </c>
      <c r="K2" s="6">
        <f t="shared" ref="K2:K12" si="1">IF(E2&lt;=3,0,IF(E2&lt;=6,0.5,IF(E2&lt;=9,1,IF(E2&lt;=12,1.5,IF(E2&lt;=15,2,IF(E2&lt;=18,2.5,IF(E2&lt;=21,3,IF(E2&lt;=24,3.5,IF(E2&lt;=27,4,5)))))))))</f>
        <v>0</v>
      </c>
      <c r="L2" s="14"/>
      <c r="M2" s="6"/>
      <c r="N2" s="6">
        <f t="shared" ref="N2:N12" si="2">IF(D2&lt;=2,0,(D2-2)*0.5)</f>
        <v>0.5</v>
      </c>
      <c r="O2" s="6"/>
    </row>
    <row r="3" spans="1:15">
      <c r="A3" s="6"/>
      <c r="B3" s="15"/>
      <c r="C3" s="15"/>
      <c r="D3" s="7"/>
      <c r="E3" s="7"/>
      <c r="F3" s="7"/>
      <c r="G3" s="7"/>
      <c r="H3" s="7"/>
      <c r="I3" s="7"/>
      <c r="J3" s="7">
        <f t="shared" si="0"/>
        <v>30</v>
      </c>
      <c r="K3" s="8">
        <f t="shared" si="1"/>
        <v>0</v>
      </c>
      <c r="L3" s="14"/>
      <c r="M3" s="14"/>
      <c r="N3" s="8">
        <f t="shared" si="2"/>
        <v>0</v>
      </c>
      <c r="O3" s="8"/>
    </row>
    <row r="4" spans="1:15">
      <c r="A4" s="6"/>
      <c r="B4" s="15"/>
      <c r="C4" s="15"/>
      <c r="D4" s="7"/>
      <c r="E4" s="7"/>
      <c r="F4" s="7"/>
      <c r="G4" s="7"/>
      <c r="H4" s="7"/>
      <c r="I4" s="7"/>
      <c r="J4" s="7">
        <f t="shared" si="0"/>
        <v>30</v>
      </c>
      <c r="K4" s="8">
        <f t="shared" si="1"/>
        <v>0</v>
      </c>
      <c r="L4" s="8"/>
      <c r="M4" s="14"/>
      <c r="N4" s="14">
        <f t="shared" si="2"/>
        <v>0</v>
      </c>
      <c r="O4" s="14"/>
    </row>
    <row r="5" spans="1:15">
      <c r="A5" s="6"/>
      <c r="B5" s="15"/>
      <c r="C5" s="15"/>
      <c r="D5" s="7"/>
      <c r="E5" s="7"/>
      <c r="F5" s="7"/>
      <c r="G5" s="7"/>
      <c r="H5" s="7"/>
      <c r="I5" s="7"/>
      <c r="J5" s="7">
        <f t="shared" si="0"/>
        <v>30</v>
      </c>
      <c r="K5" s="6">
        <f t="shared" si="1"/>
        <v>0</v>
      </c>
      <c r="L5" s="8"/>
      <c r="M5" s="14"/>
      <c r="N5" s="14">
        <f t="shared" si="2"/>
        <v>0</v>
      </c>
      <c r="O5" s="14"/>
    </row>
    <row r="6" spans="1:15">
      <c r="A6" s="6"/>
      <c r="B6" s="15"/>
      <c r="C6" s="15"/>
      <c r="D6" s="7"/>
      <c r="E6" s="7"/>
      <c r="F6" s="7"/>
      <c r="G6" s="7"/>
      <c r="H6" s="7"/>
      <c r="I6" s="7"/>
      <c r="J6" s="7">
        <f t="shared" si="0"/>
        <v>30</v>
      </c>
      <c r="K6" s="8">
        <f t="shared" si="1"/>
        <v>0</v>
      </c>
      <c r="L6" s="8"/>
      <c r="M6" s="14"/>
      <c r="N6" s="14">
        <f t="shared" si="2"/>
        <v>0</v>
      </c>
      <c r="O6" s="14"/>
    </row>
    <row r="7" spans="1:15">
      <c r="A7" s="6"/>
      <c r="B7" s="15"/>
      <c r="C7" s="15"/>
      <c r="D7" s="7"/>
      <c r="E7" s="7"/>
      <c r="F7" s="7"/>
      <c r="G7" s="7"/>
      <c r="H7" s="7"/>
      <c r="I7" s="7"/>
      <c r="J7" s="7">
        <f t="shared" si="0"/>
        <v>30</v>
      </c>
      <c r="K7" s="15">
        <f t="shared" si="1"/>
        <v>0</v>
      </c>
      <c r="L7" s="15"/>
      <c r="M7" s="9"/>
      <c r="N7" s="15">
        <f t="shared" si="2"/>
        <v>0</v>
      </c>
      <c r="O7" s="15"/>
    </row>
    <row r="8" spans="1:15">
      <c r="A8" s="6"/>
      <c r="B8" s="15"/>
      <c r="C8" s="15"/>
      <c r="D8" s="7"/>
      <c r="E8" s="7"/>
      <c r="F8" s="7"/>
      <c r="G8" s="7"/>
      <c r="H8" s="7"/>
      <c r="I8" s="7"/>
      <c r="J8" s="7">
        <f t="shared" si="0"/>
        <v>30</v>
      </c>
      <c r="K8" s="15">
        <f t="shared" si="1"/>
        <v>0</v>
      </c>
      <c r="L8" s="15"/>
      <c r="M8" s="14"/>
      <c r="N8" s="8">
        <f t="shared" si="2"/>
        <v>0</v>
      </c>
      <c r="O8" s="8"/>
    </row>
    <row r="9" spans="1:15">
      <c r="A9" s="15"/>
      <c r="B9" s="15"/>
      <c r="C9" s="15"/>
      <c r="D9" s="7"/>
      <c r="E9" s="7"/>
      <c r="F9" s="7"/>
      <c r="G9" s="7"/>
      <c r="H9" s="7"/>
      <c r="I9" s="7"/>
      <c r="J9" s="7">
        <f t="shared" si="0"/>
        <v>30</v>
      </c>
      <c r="K9" s="10">
        <f t="shared" si="1"/>
        <v>0</v>
      </c>
      <c r="L9" s="15"/>
      <c r="M9" s="15"/>
      <c r="N9" s="15">
        <f t="shared" si="2"/>
        <v>0</v>
      </c>
      <c r="O9" s="15"/>
    </row>
    <row r="10" spans="1:15">
      <c r="A10" s="11"/>
      <c r="B10" s="12"/>
      <c r="C10" s="12"/>
      <c r="D10" s="13"/>
      <c r="E10" s="13"/>
      <c r="F10" s="13"/>
      <c r="G10" s="13"/>
      <c r="H10" s="13"/>
      <c r="I10" s="13"/>
      <c r="J10" s="13">
        <f t="shared" si="0"/>
        <v>30</v>
      </c>
      <c r="K10" s="15">
        <f t="shared" si="1"/>
        <v>0</v>
      </c>
      <c r="L10" s="15"/>
      <c r="M10" s="14"/>
      <c r="N10" s="15">
        <f t="shared" si="2"/>
        <v>0</v>
      </c>
      <c r="O10" s="15"/>
    </row>
    <row r="11" spans="1:15">
      <c r="A11" s="18"/>
      <c r="B11" s="18"/>
      <c r="C11" s="18"/>
      <c r="D11" s="18"/>
      <c r="E11" s="18"/>
      <c r="F11" s="18"/>
      <c r="G11" s="18"/>
      <c r="H11" s="18"/>
      <c r="I11" s="18"/>
      <c r="J11" s="18">
        <f t="shared" si="0"/>
        <v>30</v>
      </c>
      <c r="K11" s="19">
        <f t="shared" si="1"/>
        <v>0</v>
      </c>
      <c r="L11" s="18"/>
      <c r="M11" s="20"/>
      <c r="N11" s="16">
        <f t="shared" si="2"/>
        <v>0</v>
      </c>
      <c r="O11" s="16"/>
    </row>
    <row r="12" spans="1:15">
      <c r="I12" s="17"/>
      <c r="J12">
        <f t="shared" si="0"/>
        <v>30</v>
      </c>
      <c r="K12">
        <f t="shared" si="1"/>
        <v>0</v>
      </c>
      <c r="N12">
        <f t="shared" si="2"/>
        <v>0</v>
      </c>
    </row>
  </sheetData>
  <autoFilter ref="B1:B11" xr:uid="{00000000-0009-0000-0000-000000000000}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 Link</dc:creator>
  <cp:lastModifiedBy>Yashika Sheth</cp:lastModifiedBy>
  <dcterms:created xsi:type="dcterms:W3CDTF">2015-06-05T18:17:00Z</dcterms:created>
  <dcterms:modified xsi:type="dcterms:W3CDTF">2026-06-12T16:21:37Z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8DC13CB77F3847548AE9265114908398_12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